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filterPrivacy="1" codeName="ThisWorkbook"/>
  <xr:revisionPtr revIDLastSave="0" documentId="8_{3F249DA5-B1B2-428E-9632-2B0C6E46FD12}" xr6:coauthVersionLast="47" xr6:coauthVersionMax="47" xr10:uidLastSave="{00000000-0000-0000-0000-000000000000}"/>
  <bookViews>
    <workbookView xWindow="28680" yWindow="-11760" windowWidth="38640" windowHeight="21120" xr2:uid="{00000000-000D-0000-FFFF-FFFF00000000}"/>
  </bookViews>
  <sheets>
    <sheet name="ProjectSchedule" sheetId="11" r:id="rId1"/>
  </sheets>
  <definedNames>
    <definedName name="hoy" localSheetId="0">TODAY()</definedName>
    <definedName name="Inicio_del_proyecto">ProjectSchedule!$E$3</definedName>
    <definedName name="_xlnm.Print_Titles" localSheetId="0">ProjectSchedule!$4:$6</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11" l="1"/>
  <c r="F30" i="11"/>
  <c r="F31" i="11" s="1"/>
  <c r="E30" i="11"/>
  <c r="E31" i="11" s="1"/>
  <c r="F25" i="11"/>
  <c r="F24" i="11"/>
  <c r="F20" i="11"/>
  <c r="E18" i="11"/>
  <c r="D17" i="11"/>
  <c r="F29" i="11"/>
  <c r="E28" i="11"/>
  <c r="E29" i="11" s="1"/>
  <c r="E26" i="11"/>
  <c r="E27" i="11" s="1"/>
  <c r="D13" i="11"/>
  <c r="E22" i="11"/>
  <c r="F22" i="11" s="1"/>
  <c r="F23" i="11" s="1"/>
  <c r="E13" i="11"/>
  <c r="F13" i="11" s="1"/>
  <c r="E21" i="11" s="1"/>
  <c r="D28" i="11"/>
  <c r="D8" i="11"/>
  <c r="E9" i="11"/>
  <c r="F9" i="11" s="1"/>
  <c r="E10" i="11" s="1"/>
  <c r="H7" i="11"/>
  <c r="E32" i="11" l="1"/>
  <c r="F32" i="11"/>
  <c r="H27" i="11"/>
  <c r="E23" i="11"/>
  <c r="H29" i="11"/>
  <c r="E14" i="11"/>
  <c r="H28" i="11"/>
  <c r="D12" i="11"/>
  <c r="D26" i="11" s="1"/>
  <c r="F14" i="11" l="1"/>
  <c r="E15" i="11" s="1"/>
  <c r="F15" i="11" s="1"/>
  <c r="E16" i="11" s="1"/>
  <c r="F16" i="11" s="1"/>
  <c r="I5" i="11"/>
  <c r="H34" i="11"/>
  <c r="H31" i="11"/>
  <c r="H26" i="11"/>
  <c r="H12" i="11"/>
  <c r="H8" i="11"/>
  <c r="F10" i="11" l="1"/>
  <c r="E11" i="11" s="1"/>
  <c r="I6" i="11"/>
  <c r="H9" i="11" l="1"/>
  <c r="F11" i="11"/>
  <c r="J5" i="11"/>
  <c r="K5" i="11" s="1"/>
  <c r="L5" i="11" s="1"/>
  <c r="M5" i="11" s="1"/>
  <c r="N5" i="11" s="1"/>
  <c r="O5" i="11" s="1"/>
  <c r="P5" i="11" s="1"/>
  <c r="I4" i="11"/>
  <c r="H13" i="11" l="1"/>
  <c r="H10" i="11"/>
  <c r="H11" i="11"/>
  <c r="P4" i="11"/>
  <c r="Q5" i="11"/>
  <c r="R5" i="11" s="1"/>
  <c r="S5" i="11" s="1"/>
  <c r="T5" i="11" s="1"/>
  <c r="U5" i="11" s="1"/>
  <c r="V5" i="11" s="1"/>
  <c r="W5" i="11" s="1"/>
  <c r="J6" i="11"/>
  <c r="E17" i="11" l="1"/>
  <c r="F21" i="11"/>
  <c r="H22" i="11"/>
  <c r="W4" i="11"/>
  <c r="X5" i="11"/>
  <c r="Y5" i="11" s="1"/>
  <c r="Z5" i="11" s="1"/>
  <c r="AA5" i="11" s="1"/>
  <c r="AB5" i="11" s="1"/>
  <c r="AC5" i="11" s="1"/>
  <c r="AD5" i="11" s="1"/>
  <c r="K6" i="11"/>
  <c r="F17" i="11" l="1"/>
  <c r="F19" i="11" s="1"/>
  <c r="E20" i="11" s="1"/>
  <c r="F18" i="11"/>
  <c r="E19" i="11" s="1"/>
  <c r="H21" i="11"/>
  <c r="AE5" i="11"/>
  <c r="AF5" i="11" s="1"/>
  <c r="AG5" i="11" s="1"/>
  <c r="AH5" i="11" s="1"/>
  <c r="AI5" i="11" s="1"/>
  <c r="AJ5" i="11" s="1"/>
  <c r="AD4" i="11"/>
  <c r="L6" i="11"/>
  <c r="H17" i="11" l="1"/>
  <c r="AK5" i="11"/>
  <c r="AL5" i="11" s="1"/>
  <c r="AM5" i="11" s="1"/>
  <c r="AN5" i="11" s="1"/>
  <c r="AO5" i="11" s="1"/>
  <c r="AP5" i="11" s="1"/>
  <c r="AQ5" i="11" s="1"/>
  <c r="M6" i="11"/>
  <c r="AR5" i="11" l="1"/>
  <c r="AS5" i="11" s="1"/>
  <c r="AK4" i="11"/>
  <c r="N6" i="11"/>
  <c r="AT5" i="11" l="1"/>
  <c r="AS6" i="11"/>
  <c r="AR4" i="11"/>
  <c r="O6" i="11"/>
  <c r="AT6" i="11" l="1"/>
  <c r="P6" i="11" l="1"/>
  <c r="R6" i="11" l="1"/>
  <c r="S6" i="11" l="1"/>
  <c r="AR6" i="11"/>
  <c r="AU5" i="11" s="1"/>
  <c r="AV5" i="11" s="1"/>
  <c r="AQ6" i="11"/>
  <c r="AP6" i="11"/>
  <c r="AO6" i="11"/>
  <c r="AN6" i="11"/>
  <c r="AM6" i="11"/>
  <c r="AL6" i="11"/>
  <c r="AK6" i="11"/>
  <c r="AJ6" i="11"/>
  <c r="AI6" i="11"/>
  <c r="AH6" i="11"/>
  <c r="AG6" i="11"/>
  <c r="AF6" i="11"/>
  <c r="AE6" i="11"/>
  <c r="AD6" i="11"/>
  <c r="AC6" i="11"/>
  <c r="AB6" i="11"/>
  <c r="AA6" i="11"/>
  <c r="Z6" i="11"/>
  <c r="Y6" i="11"/>
  <c r="X6" i="11"/>
  <c r="W6" i="11"/>
  <c r="V6" i="11"/>
  <c r="U6" i="11"/>
  <c r="T6" i="11"/>
  <c r="Q6" i="11"/>
  <c r="AW5" i="11" l="1"/>
  <c r="AX5" i="11" s="1"/>
  <c r="AV6" i="11"/>
  <c r="AU6" i="11"/>
  <c r="AW6" i="11" l="1"/>
  <c r="AY5" i="11"/>
  <c r="AZ5" i="11" l="1"/>
  <c r="AY6" i="11"/>
  <c r="AY4" i="11"/>
  <c r="AX6" i="11" s="1"/>
  <c r="BA5" i="11" l="1"/>
  <c r="AZ6" i="11"/>
  <c r="BB5" i="11" l="1"/>
  <c r="BA6" i="11"/>
  <c r="BB6" i="11" l="1"/>
  <c r="BC5" i="11"/>
  <c r="BD5" i="11" l="1"/>
  <c r="BC6" i="11"/>
  <c r="BE5" i="11" l="1"/>
  <c r="BD6" i="11"/>
  <c r="BF5" i="11" l="1"/>
  <c r="BF4" i="11" l="1"/>
  <c r="BE6" i="11" s="1"/>
  <c r="BF6" i="11"/>
  <c r="BG5" i="11"/>
  <c r="BG6" i="11" l="1"/>
  <c r="BH5" i="11"/>
  <c r="BI5" i="11" l="1"/>
  <c r="BH6" i="11"/>
  <c r="BJ5" i="11" l="1"/>
  <c r="BI6" i="11"/>
  <c r="BK5" i="11" l="1"/>
  <c r="BJ6" i="11"/>
  <c r="BL5" i="11" l="1"/>
  <c r="BK6" i="11"/>
  <c r="BL6" i="11" l="1"/>
  <c r="BM5" i="11"/>
  <c r="BM6" i="11" l="1"/>
  <c r="BN5" i="11"/>
  <c r="BM4" i="11"/>
  <c r="BN6" i="11" l="1"/>
  <c r="BO5" i="11"/>
  <c r="BP5" i="11" l="1"/>
  <c r="BO6" i="11"/>
  <c r="BP6" i="11" l="1"/>
  <c r="BQ5" i="11"/>
  <c r="BR5" i="11" l="1"/>
  <c r="BQ6" i="11"/>
  <c r="BS5" i="11" l="1"/>
  <c r="BR6" i="11"/>
  <c r="BS6" i="11" l="1"/>
  <c r="BT5" i="11"/>
  <c r="BT6" i="11" l="1"/>
  <c r="BT4" i="11"/>
  <c r="BU5" i="11"/>
  <c r="BU6" i="11" l="1"/>
  <c r="BV5" i="11"/>
  <c r="BV6" i="11" l="1"/>
  <c r="BW5" i="11"/>
  <c r="BW6" i="11" l="1"/>
  <c r="BX5" i="11"/>
  <c r="BX6" i="11" l="1"/>
  <c r="BY5" i="11"/>
  <c r="BY6" i="11" l="1"/>
  <c r="BZ5" i="11"/>
  <c r="BZ6" i="11" l="1"/>
  <c r="CA5" i="11"/>
  <c r="CA6" i="11" l="1"/>
  <c r="CA4" i="11"/>
  <c r="CB5" i="11"/>
  <c r="CB6" i="11" l="1"/>
  <c r="CC5" i="11"/>
  <c r="CC6" i="11" l="1"/>
  <c r="CD5" i="11"/>
  <c r="CD6" i="11" l="1"/>
  <c r="CE5" i="11"/>
  <c r="CE6" i="11" l="1"/>
  <c r="CF5" i="11"/>
  <c r="CG5" i="11" l="1"/>
  <c r="CF6" i="11"/>
  <c r="CG6" i="11" l="1"/>
  <c r="CH5" i="11"/>
  <c r="CH6" i="11" l="1"/>
  <c r="CH4" i="11"/>
  <c r="CI5" i="11"/>
  <c r="CI6" i="11" l="1"/>
  <c r="CJ5" i="11"/>
  <c r="CK5" i="11" l="1"/>
  <c r="CJ6" i="11"/>
  <c r="CK6" i="11" l="1"/>
  <c r="CL5" i="11"/>
  <c r="CM5" i="11" l="1"/>
  <c r="CL6" i="11"/>
  <c r="CM6" i="11" l="1"/>
  <c r="CN5" i="11"/>
  <c r="CN6" i="11" s="1"/>
</calcChain>
</file>

<file path=xl/sharedStrings.xml><?xml version="1.0" encoding="utf-8"?>
<sst xmlns="http://schemas.openxmlformats.org/spreadsheetml/2006/main" count="67" uniqueCount="53">
  <si>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</si>
  <si>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Scoundrel's Quest</t>
  </si>
  <si>
    <t>Escriba el nombre de la compañía en la celda B2.</t>
  </si>
  <si>
    <t>Jorge Colomer Albertos</t>
  </si>
  <si>
    <t>Escriba el nombre del responsable del proyecto en la celda B3. Escriba la fecha de comienzo del proyecto en la celda E3. Inicio del proyecto: la etiqueta se encuentra en la celda C3.</t>
  </si>
  <si>
    <t>Responsable del proyecto</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</si>
  <si>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</si>
  <si>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</si>
  <si>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</si>
  <si>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</si>
  <si>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</si>
  <si>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</si>
  <si>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</si>
  <si>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</si>
  <si>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</si>
  <si>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</si>
  <si>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</si>
  <si>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</si>
  <si>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</si>
  <si>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Diseño y planificación</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</si>
  <si>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</si>
  <si>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Creación del diagrama inicial de BD</t>
  </si>
  <si>
    <t>Jorge</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</si>
  <si>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</si>
  <si>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Creación primera versión de la guía de estilos</t>
  </si>
  <si>
    <t>Creación del diagrama de GANTT</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</si>
  <si>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</si>
  <si>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Creación del esqueleto</t>
  </si>
  <si>
    <t>Creación y finalización del backend</t>
  </si>
  <si>
    <t>Creación de la base de datos con Laravel</t>
  </si>
  <si>
    <t>Creación de las clases y controladores API</t>
  </si>
  <si>
    <t>Implementación del inicio de sesión</t>
  </si>
  <si>
    <t>Creación del frontend</t>
  </si>
  <si>
    <t>Diseño de las mecánicas del juego</t>
  </si>
  <si>
    <t>Desarrollo del juego</t>
  </si>
  <si>
    <t>Comprobación de errores</t>
  </si>
  <si>
    <t>Terminar la guida de estilos</t>
  </si>
  <si>
    <t>Preparar despliegue</t>
  </si>
  <si>
    <t>Seleccionar plataforma de despliegue</t>
  </si>
  <si>
    <t>Empezar memoria del proyecto</t>
  </si>
  <si>
    <t>…</t>
  </si>
  <si>
    <t>Empezar plan de empresa</t>
  </si>
  <si>
    <t>Bloque de título fase de ejemplo</t>
  </si>
  <si>
    <t>Entrega final del proyecto</t>
  </si>
  <si>
    <t>Por especificar</t>
  </si>
  <si>
    <t>Entrega presentación</t>
  </si>
  <si>
    <t>Realizar presentación</t>
  </si>
  <si>
    <t>Tareas atemporales</t>
  </si>
  <si>
    <t>Esta es una fila vacía.</t>
  </si>
  <si>
    <t>Memoria del proyecto</t>
  </si>
  <si>
    <t>Plan de empresa</t>
  </si>
  <si>
    <t>Esta fila indica el final de la programación del proyecto. NO escriba nada en esta fila. 
Inserte nuevas filas encima de ésta para continuar creando la programación del proyecto.</t>
  </si>
  <si>
    <t>Inserte nuevas filas ENCIMA de ésta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</si>
</sst>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
    <numFmt numFmtId="168" formatCode="ddd\,\ yyyy\-mm\-dd;@"/>
    <numFmt numFmtId="169" formatCode="d\ &quot;de&quot;\ mmmm\ &quot;de&quot;\ yyyy"/>
  </numFmts>
  <fonts count="3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9">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FFC00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4" tint="0.39997558519241921"/>
        <bgColor indexed="64"/>
      </patternFill>
    </fill>
  </fills>
  <borders count="33">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tint="-0.14996795556505021"/>
      </bottom>
      <diagonal/>
    </border>
    <border>
      <left/>
      <right/>
      <top style="medium">
        <color theme="0" tint="-0.1499679555650502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right/>
      <top style="thin">
        <color rgb="FFFFC000"/>
      </top>
      <bottom/>
      <diagonal/>
    </border>
    <border>
      <left style="thin">
        <color theme="0" tint="-0.14993743705557422"/>
      </left>
      <right style="thin">
        <color theme="0" tint="-0.14993743705557422"/>
      </right>
      <top/>
      <bottom style="medium">
        <color theme="0" tint="-0.14996795556505021"/>
      </bottom>
      <diagonal/>
    </border>
    <border>
      <left style="thin">
        <color theme="0" tint="-0.14999847407452621"/>
      </left>
      <right style="thin">
        <color theme="0" tint="-0.14993743705557422"/>
      </right>
      <top style="medium">
        <color theme="0" tint="-0.14996795556505021"/>
      </top>
      <bottom style="medium">
        <color theme="0" tint="-0.14999847407452621"/>
      </bottom>
      <diagonal/>
    </border>
    <border>
      <left style="thin">
        <color theme="0" tint="-0.14993743705557422"/>
      </left>
      <right style="thin">
        <color theme="0" tint="-0.14993743705557422"/>
      </right>
      <top/>
      <bottom style="medium">
        <color theme="0" tint="-0.14999847407452621"/>
      </bottom>
      <diagonal/>
    </border>
    <border>
      <left style="medium">
        <color rgb="FFFFC000"/>
      </left>
      <right style="medium">
        <color rgb="FFFFC000"/>
      </right>
      <top style="medium">
        <color rgb="FFFFC000"/>
      </top>
      <bottom/>
      <diagonal/>
    </border>
    <border>
      <left style="medium">
        <color rgb="FFFFC000"/>
      </left>
      <right style="medium">
        <color rgb="FFFFC000"/>
      </right>
      <top/>
      <bottom/>
      <diagonal/>
    </border>
    <border>
      <left style="medium">
        <color rgb="FFFFC000"/>
      </left>
      <right style="medium">
        <color rgb="FFFFC000"/>
      </right>
      <top/>
      <bottom style="medium">
        <color rgb="FFFFC000"/>
      </bottom>
      <diagonal/>
    </border>
    <border>
      <left style="thin">
        <color theme="0" tint="-0.14993743705557422"/>
      </left>
      <right style="thin">
        <color theme="0" tint="-0.14993743705557422"/>
      </right>
      <top/>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3" fillId="13" borderId="0" applyNumberFormat="0" applyBorder="0" applyAlignment="0" applyProtection="0"/>
    <xf numFmtId="0" fontId="24" fillId="14" borderId="11" applyNumberFormat="0" applyAlignment="0" applyProtection="0"/>
    <xf numFmtId="0" fontId="25" fillId="15" borderId="12" applyNumberFormat="0" applyAlignment="0" applyProtection="0"/>
    <xf numFmtId="0" fontId="26" fillId="15" borderId="11" applyNumberFormat="0" applyAlignment="0" applyProtection="0"/>
    <xf numFmtId="0" fontId="27" fillId="0" borderId="13" applyNumberFormat="0" applyFill="0" applyAlignment="0" applyProtection="0"/>
    <xf numFmtId="0" fontId="28" fillId="16" borderId="14" applyNumberFormat="0" applyAlignment="0" applyProtection="0"/>
    <xf numFmtId="0" fontId="29" fillId="0" borderId="0" applyNumberFormat="0" applyFill="0" applyBorder="0" applyAlignment="0" applyProtection="0"/>
    <xf numFmtId="0" fontId="9" fillId="17"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16"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6"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16"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16"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16"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cellStyleXfs>
  <cellXfs count="131">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0" borderId="1" xfId="0" applyFont="1" applyFill="1" applyBorder="1" applyAlignment="1">
      <alignment horizontal="left" vertical="center" indent="1"/>
    </xf>
    <xf numFmtId="0" fontId="7" fillId="10" borderId="1" xfId="0" applyFont="1" applyFill="1" applyBorder="1" applyAlignment="1">
      <alignment horizontal="center" vertical="center" wrapText="1"/>
    </xf>
    <xf numFmtId="0" fontId="12" fillId="9"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6" fontId="9" fillId="3"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7" fontId="11" fillId="6" borderId="6" xfId="0" applyNumberFormat="1" applyFont="1" applyFill="1" applyBorder="1" applyAlignment="1">
      <alignment horizontal="center" vertical="center"/>
    </xf>
    <xf numFmtId="167" fontId="11" fillId="6" borderId="0" xfId="0" applyNumberFormat="1" applyFont="1" applyFill="1" applyAlignment="1">
      <alignment horizontal="center" vertical="center"/>
    </xf>
    <xf numFmtId="167" fontId="11" fillId="6" borderId="7" xfId="0" applyNumberFormat="1" applyFont="1" applyFill="1" applyBorder="1" applyAlignment="1">
      <alignment horizontal="center" vertical="center"/>
    </xf>
    <xf numFmtId="0" fontId="6" fillId="42" borderId="19" xfId="0" applyFont="1" applyFill="1" applyBorder="1" applyAlignment="1">
      <alignment horizontal="left" vertical="center" indent="1"/>
    </xf>
    <xf numFmtId="0" fontId="9" fillId="42" borderId="20" xfId="11" applyFill="1" applyBorder="1">
      <alignment horizontal="center" vertical="center"/>
    </xf>
    <xf numFmtId="9" fontId="5" fillId="42" borderId="20" xfId="2" applyFont="1" applyFill="1" applyBorder="1" applyAlignment="1">
      <alignment horizontal="center" vertical="center"/>
    </xf>
    <xf numFmtId="166" fontId="0" fillId="42" borderId="20" xfId="0" applyNumberFormat="1" applyFill="1" applyBorder="1" applyAlignment="1">
      <alignment horizontal="center" vertical="center"/>
    </xf>
    <xf numFmtId="166" fontId="5" fillId="42" borderId="21" xfId="0" applyNumberFormat="1" applyFont="1" applyFill="1" applyBorder="1" applyAlignment="1">
      <alignment horizontal="center" vertical="center"/>
    </xf>
    <xf numFmtId="0" fontId="9" fillId="8" borderId="17" xfId="12" applyFill="1" applyBorder="1">
      <alignment horizontal="left" vertical="center" indent="2"/>
    </xf>
    <xf numFmtId="0" fontId="9" fillId="8" borderId="17" xfId="11" applyFill="1" applyBorder="1">
      <alignment horizontal="center" vertical="center"/>
    </xf>
    <xf numFmtId="9" fontId="5" fillId="8" borderId="17" xfId="2" applyFont="1" applyFill="1" applyBorder="1" applyAlignment="1">
      <alignment horizontal="center" vertical="center"/>
    </xf>
    <xf numFmtId="166" fontId="9" fillId="8" borderId="17" xfId="10" applyFill="1" applyBorder="1">
      <alignment horizontal="center" vertical="center"/>
    </xf>
    <xf numFmtId="0" fontId="9" fillId="8" borderId="2" xfId="12" applyFill="1">
      <alignment horizontal="left" vertical="center" indent="2"/>
    </xf>
    <xf numFmtId="166" fontId="9" fillId="8" borderId="2" xfId="10" applyFill="1">
      <alignment horizontal="center" vertical="center"/>
    </xf>
    <xf numFmtId="0" fontId="9" fillId="8" borderId="18" xfId="12" applyFill="1" applyBorder="1">
      <alignment horizontal="left" vertical="center" indent="2"/>
    </xf>
    <xf numFmtId="0" fontId="9" fillId="8" borderId="18" xfId="11" applyFill="1" applyBorder="1">
      <alignment horizontal="center" vertical="center"/>
    </xf>
    <xf numFmtId="9" fontId="5" fillId="8" borderId="18" xfId="2" applyFont="1" applyFill="1" applyBorder="1" applyAlignment="1">
      <alignment horizontal="center" vertical="center"/>
    </xf>
    <xf numFmtId="166" fontId="9" fillId="8" borderId="18" xfId="10" applyFill="1" applyBorder="1">
      <alignment horizontal="center" vertical="center"/>
    </xf>
    <xf numFmtId="0" fontId="9" fillId="3" borderId="0" xfId="12" applyFill="1" applyBorder="1">
      <alignment horizontal="left" vertical="center" indent="2"/>
    </xf>
    <xf numFmtId="0" fontId="9" fillId="3" borderId="0" xfId="11" applyFill="1" applyBorder="1">
      <alignment horizontal="center" vertical="center"/>
    </xf>
    <xf numFmtId="9" fontId="5" fillId="3" borderId="0" xfId="2" applyFont="1" applyFill="1" applyBorder="1" applyAlignment="1">
      <alignment horizontal="center" vertical="center"/>
    </xf>
    <xf numFmtId="166" fontId="9" fillId="3" borderId="0" xfId="10" applyFill="1" applyBorder="1">
      <alignment horizontal="center" vertical="center"/>
    </xf>
    <xf numFmtId="0" fontId="12" fillId="43" borderId="8" xfId="0" applyFont="1" applyFill="1" applyBorder="1" applyAlignment="1">
      <alignment horizontal="center" vertical="center" shrinkToFit="1"/>
    </xf>
    <xf numFmtId="0" fontId="0" fillId="0" borderId="22" xfId="0" applyBorder="1" applyAlignment="1">
      <alignment vertical="center"/>
    </xf>
    <xf numFmtId="0" fontId="0" fillId="2" borderId="22" xfId="0" applyFill="1" applyBorder="1" applyAlignment="1">
      <alignment vertical="center"/>
    </xf>
    <xf numFmtId="0" fontId="0" fillId="0" borderId="23" xfId="0" applyBorder="1" applyAlignment="1">
      <alignment vertical="center"/>
    </xf>
    <xf numFmtId="0" fontId="0" fillId="2" borderId="23" xfId="0" applyFill="1" applyBorder="1" applyAlignment="1">
      <alignment vertical="center"/>
    </xf>
    <xf numFmtId="0" fontId="0" fillId="0" borderId="24" xfId="0" applyBorder="1" applyAlignment="1">
      <alignment vertical="center"/>
    </xf>
    <xf numFmtId="0" fontId="0" fillId="0" borderId="25" xfId="0" applyBorder="1"/>
    <xf numFmtId="0" fontId="0" fillId="0" borderId="26" xfId="0" applyBorder="1" applyAlignment="1">
      <alignment vertical="center"/>
    </xf>
    <xf numFmtId="0" fontId="0" fillId="0" borderId="28" xfId="0" applyBorder="1"/>
    <xf numFmtId="0" fontId="0" fillId="0" borderId="27" xfId="0" applyBorder="1"/>
    <xf numFmtId="0" fontId="0" fillId="0" borderId="29" xfId="0" applyBorder="1" applyAlignment="1">
      <alignment vertical="center"/>
    </xf>
    <xf numFmtId="0" fontId="0" fillId="0" borderId="30" xfId="0" applyBorder="1" applyAlignment="1">
      <alignment vertical="center"/>
    </xf>
    <xf numFmtId="0" fontId="0" fillId="2" borderId="31" xfId="0" applyFill="1" applyBorder="1" applyAlignment="1">
      <alignment vertical="center"/>
    </xf>
    <xf numFmtId="0" fontId="0" fillId="0" borderId="32" xfId="0" applyBorder="1"/>
    <xf numFmtId="9" fontId="5" fillId="8" borderId="0" xfId="2" applyFont="1" applyFill="1" applyBorder="1" applyAlignment="1">
      <alignment horizontal="center" vertical="center"/>
    </xf>
    <xf numFmtId="0" fontId="6" fillId="44" borderId="19" xfId="0" applyFont="1" applyFill="1" applyBorder="1" applyAlignment="1">
      <alignment horizontal="left" vertical="center" indent="1"/>
    </xf>
    <xf numFmtId="0" fontId="9" fillId="44" borderId="20" xfId="11" applyFill="1" applyBorder="1">
      <alignment horizontal="center" vertical="center"/>
    </xf>
    <xf numFmtId="9" fontId="5" fillId="44" borderId="20" xfId="2" applyFont="1" applyFill="1" applyBorder="1" applyAlignment="1">
      <alignment horizontal="center" vertical="center"/>
    </xf>
    <xf numFmtId="166" fontId="0" fillId="44" borderId="20" xfId="0" applyNumberFormat="1" applyFill="1" applyBorder="1" applyAlignment="1">
      <alignment horizontal="center" vertical="center"/>
    </xf>
    <xf numFmtId="166" fontId="5" fillId="44" borderId="21" xfId="0" applyNumberFormat="1" applyFont="1" applyFill="1" applyBorder="1" applyAlignment="1">
      <alignment horizontal="center" vertical="center"/>
    </xf>
    <xf numFmtId="0" fontId="9" fillId="45" borderId="17" xfId="12" applyFill="1" applyBorder="1">
      <alignment horizontal="left" vertical="center" indent="2"/>
    </xf>
    <xf numFmtId="0" fontId="9" fillId="45" borderId="17" xfId="11" applyFill="1" applyBorder="1">
      <alignment horizontal="center" vertical="center"/>
    </xf>
    <xf numFmtId="9" fontId="5" fillId="45" borderId="17" xfId="2" applyFont="1" applyFill="1" applyBorder="1" applyAlignment="1">
      <alignment horizontal="center" vertical="center"/>
    </xf>
    <xf numFmtId="166" fontId="9" fillId="45" borderId="17" xfId="10" applyFill="1" applyBorder="1">
      <alignment horizontal="center" vertical="center"/>
    </xf>
    <xf numFmtId="0" fontId="6" fillId="46" borderId="19" xfId="0" applyFont="1" applyFill="1" applyBorder="1" applyAlignment="1">
      <alignment horizontal="left" vertical="center" indent="1"/>
    </xf>
    <xf numFmtId="0" fontId="9" fillId="46" borderId="20" xfId="11" applyFill="1" applyBorder="1">
      <alignment horizontal="center" vertical="center"/>
    </xf>
    <xf numFmtId="9" fontId="5" fillId="46" borderId="20" xfId="2" applyFont="1" applyFill="1" applyBorder="1" applyAlignment="1">
      <alignment horizontal="center" vertical="center"/>
    </xf>
    <xf numFmtId="166" fontId="0" fillId="46" borderId="20" xfId="0" applyNumberFormat="1" applyFill="1" applyBorder="1" applyAlignment="1">
      <alignment horizontal="center" vertical="center"/>
    </xf>
    <xf numFmtId="166" fontId="5" fillId="46" borderId="21" xfId="0" applyNumberFormat="1" applyFont="1" applyFill="1" applyBorder="1" applyAlignment="1">
      <alignment horizontal="center" vertical="center"/>
    </xf>
    <xf numFmtId="0" fontId="9" fillId="4" borderId="17" xfId="12" applyFill="1" applyBorder="1">
      <alignment horizontal="left" vertical="center" indent="2"/>
    </xf>
    <xf numFmtId="0" fontId="9" fillId="4" borderId="17" xfId="11" applyFill="1" applyBorder="1">
      <alignment horizontal="center" vertical="center"/>
    </xf>
    <xf numFmtId="9" fontId="5" fillId="4" borderId="17" xfId="2" applyFont="1" applyFill="1" applyBorder="1" applyAlignment="1">
      <alignment horizontal="center" vertical="center"/>
    </xf>
    <xf numFmtId="166" fontId="9" fillId="4" borderId="17" xfId="10" applyFill="1" applyBorder="1">
      <alignment horizontal="center" vertical="center"/>
    </xf>
    <xf numFmtId="0" fontId="6" fillId="47" borderId="19" xfId="0" applyFont="1" applyFill="1" applyBorder="1" applyAlignment="1">
      <alignment horizontal="left" vertical="center" indent="1"/>
    </xf>
    <xf numFmtId="0" fontId="9" fillId="47" borderId="20" xfId="11" applyFill="1" applyBorder="1">
      <alignment horizontal="center" vertical="center"/>
    </xf>
    <xf numFmtId="9" fontId="5" fillId="47" borderId="20" xfId="2" applyFont="1" applyFill="1" applyBorder="1" applyAlignment="1">
      <alignment horizontal="center" vertical="center"/>
    </xf>
    <xf numFmtId="166" fontId="0" fillId="47" borderId="20" xfId="0" applyNumberFormat="1" applyFill="1" applyBorder="1" applyAlignment="1">
      <alignment horizontal="center" vertical="center"/>
    </xf>
    <xf numFmtId="166" fontId="5" fillId="47" borderId="21" xfId="0" applyNumberFormat="1" applyFont="1" applyFill="1" applyBorder="1" applyAlignment="1">
      <alignment horizontal="center" vertical="center"/>
    </xf>
    <xf numFmtId="0" fontId="9" fillId="5" borderId="17" xfId="12" applyFill="1" applyBorder="1">
      <alignment horizontal="left" vertical="center" indent="2"/>
    </xf>
    <xf numFmtId="0" fontId="9" fillId="5" borderId="17" xfId="11" applyFill="1" applyBorder="1">
      <alignment horizontal="center" vertical="center"/>
    </xf>
    <xf numFmtId="9" fontId="5" fillId="5" borderId="17" xfId="2" applyFont="1" applyFill="1" applyBorder="1" applyAlignment="1">
      <alignment horizontal="center" vertical="center"/>
    </xf>
    <xf numFmtId="166" fontId="9" fillId="5" borderId="17" xfId="10" applyFill="1" applyBorder="1">
      <alignment horizontal="center" vertical="center"/>
    </xf>
    <xf numFmtId="0" fontId="6" fillId="48" borderId="19" xfId="0" applyFont="1" applyFill="1" applyBorder="1" applyAlignment="1">
      <alignment horizontal="left" vertical="center" indent="1"/>
    </xf>
    <xf numFmtId="0" fontId="9" fillId="48" borderId="20" xfId="11" applyFill="1" applyBorder="1">
      <alignment horizontal="center" vertical="center"/>
    </xf>
    <xf numFmtId="9" fontId="5" fillId="48" borderId="20" xfId="2" applyFont="1" applyFill="1" applyBorder="1" applyAlignment="1">
      <alignment horizontal="center" vertical="center"/>
    </xf>
    <xf numFmtId="166" fontId="0" fillId="48" borderId="20" xfId="0" applyNumberFormat="1" applyFill="1" applyBorder="1" applyAlignment="1">
      <alignment horizontal="center" vertical="center"/>
    </xf>
    <xf numFmtId="166" fontId="5" fillId="48" borderId="21" xfId="0" applyNumberFormat="1" applyFont="1" applyFill="1" applyBorder="1" applyAlignment="1">
      <alignment horizontal="center" vertical="center"/>
    </xf>
    <xf numFmtId="0" fontId="9" fillId="7" borderId="17" xfId="12" applyFill="1" applyBorder="1">
      <alignment horizontal="left" vertical="center" indent="2"/>
    </xf>
    <xf numFmtId="0" fontId="9" fillId="7" borderId="17" xfId="11" applyFill="1" applyBorder="1">
      <alignment horizontal="center" vertical="center"/>
    </xf>
    <xf numFmtId="9" fontId="5" fillId="7" borderId="17" xfId="2" applyFont="1" applyFill="1" applyBorder="1" applyAlignment="1">
      <alignment horizontal="center" vertical="center"/>
    </xf>
    <xf numFmtId="166" fontId="9" fillId="7" borderId="17" xfId="10" applyFill="1" applyBorder="1">
      <alignment horizontal="center" vertical="center"/>
    </xf>
    <xf numFmtId="0" fontId="9" fillId="7" borderId="2" xfId="12" applyFill="1">
      <alignment horizontal="left" vertical="center" indent="2"/>
    </xf>
    <xf numFmtId="0" fontId="9" fillId="7" borderId="2" xfId="11" applyFill="1">
      <alignment horizontal="center" vertical="center"/>
    </xf>
    <xf numFmtId="9" fontId="5" fillId="7" borderId="2" xfId="2" applyFont="1" applyFill="1" applyBorder="1" applyAlignment="1">
      <alignment horizontal="center" vertical="center"/>
    </xf>
    <xf numFmtId="166" fontId="9" fillId="7" borderId="2" xfId="10" applyFill="1">
      <alignment horizontal="center" vertical="center"/>
    </xf>
    <xf numFmtId="0" fontId="9" fillId="7" borderId="18" xfId="12" applyFill="1" applyBorder="1">
      <alignment horizontal="left" vertical="center" indent="2"/>
    </xf>
    <xf numFmtId="0" fontId="9" fillId="7" borderId="18" xfId="11" applyFill="1" applyBorder="1">
      <alignment horizontal="center" vertical="center"/>
    </xf>
    <xf numFmtId="9" fontId="5" fillId="7" borderId="18" xfId="2" applyFont="1" applyFill="1" applyBorder="1" applyAlignment="1">
      <alignment horizontal="center" vertical="center"/>
    </xf>
    <xf numFmtId="166" fontId="9" fillId="7" borderId="18" xfId="10" applyFill="1" applyBorder="1">
      <alignment horizontal="center" vertical="center"/>
    </xf>
    <xf numFmtId="169" fontId="0" fillId="6" borderId="4" xfId="0" applyNumberFormat="1" applyFill="1" applyBorder="1" applyAlignment="1">
      <alignment horizontal="left" vertical="center" wrapText="1" indent="1"/>
    </xf>
    <xf numFmtId="169" fontId="0" fillId="6" borderId="1" xfId="0" applyNumberFormat="1" applyFill="1" applyBorder="1" applyAlignment="1">
      <alignment horizontal="left" vertical="center" wrapText="1" indent="1"/>
    </xf>
    <xf numFmtId="169" fontId="0" fillId="6" borderId="5" xfId="0" applyNumberFormat="1" applyFill="1" applyBorder="1" applyAlignment="1">
      <alignment horizontal="left" vertical="center" wrapText="1" indent="1"/>
    </xf>
    <xf numFmtId="0" fontId="9" fillId="0" borderId="0" xfId="8" applyAlignment="1">
      <alignment horizontal="right" indent="1"/>
    </xf>
    <xf numFmtId="0" fontId="9" fillId="0" borderId="7" xfId="8" applyBorder="1" applyAlignment="1">
      <alignment horizontal="right" indent="1"/>
    </xf>
    <xf numFmtId="168" fontId="9" fillId="0" borderId="3" xfId="9" applyAlignment="1">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Explanatory Text" xfId="28" builtinId="53" customBuiltin="1"/>
    <cellStyle name="Fecha" xfId="10" xr:uid="{229918B6-DD13-4F5A-97B9-305F7E002AA3}"/>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icio del proyecto" xfId="9" xr:uid="{8EB8A09A-C31C-40A3-B2C1-9449520178B8}"/>
    <cellStyle name="Input" xfId="21" builtinId="20" customBuiltin="1"/>
    <cellStyle name="Linked Cell" xfId="24" builtinId="24" customBuiltin="1"/>
    <cellStyle name="Neutral" xfId="20" builtinId="28" customBuiltin="1"/>
    <cellStyle name="Nombre" xfId="11" xr:uid="{B2D3C1EE-6B41-4801-AAFC-C2274E49E503}"/>
    <cellStyle name="Normal" xfId="0" builtinId="0" customBuiltin="1"/>
    <cellStyle name="Note" xfId="27" builtinId="10" customBuiltin="1"/>
    <cellStyle name="Output" xfId="22" builtinId="21" customBuiltin="1"/>
    <cellStyle name="Percent" xfId="2" builtinId="5" customBuiltin="1"/>
    <cellStyle name="Tarea" xfId="12" xr:uid="{6391D789-272B-4DD2-9BF3-2CDCF610FA41}"/>
    <cellStyle name="Title" xfId="5" builtinId="15" customBuiltin="1"/>
    <cellStyle name="Total" xfId="29" builtinId="25" customBuiltin="1"/>
    <cellStyle name="Warning Text" xfId="26" builtinId="11" customBuiltin="1"/>
    <cellStyle name="zTextoOculto" xfId="3" xr:uid="{26E66EE6-E33F-4D77-BAE4-0FB4F5BBF673}"/>
  </cellStyles>
  <dxfs count="12">
    <dxf>
      <fill>
        <patternFill>
          <bgColor theme="7"/>
        </patternFill>
      </fill>
      <border>
        <left/>
        <right/>
        <top style="thin">
          <color rgb="FFC0C0C0"/>
        </top>
        <bottom style="thin">
          <color rgb="FFC0C0C0"/>
        </bottom>
      </border>
    </dxf>
    <dxf>
      <fill>
        <patternFill>
          <bgColor theme="0" tint="-0.34998626667073579"/>
        </patternFill>
      </fill>
      <border>
        <left/>
        <right/>
        <top style="thin">
          <color rgb="FFC0C0C0"/>
        </top>
        <bottom style="thin">
          <color rgb="FFC0C0C0"/>
        </bottom>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F7EAE9"/>
      <color rgb="FF215881"/>
      <color rgb="FF42648A"/>
      <color rgb="FF969696"/>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N37"/>
  <sheetViews>
    <sheetView showGridLines="0" tabSelected="1" showRuler="0" zoomScale="85" zoomScaleNormal="85" zoomScalePageLayoutView="70" workbookViewId="0">
      <pane ySplit="6" topLeftCell="A20" activePane="bottomLeft" state="frozen"/>
      <selection pane="bottomLeft" activeCell="B28" sqref="B28"/>
    </sheetView>
  </sheetViews>
  <sheetFormatPr defaultColWidth="9.140625" defaultRowHeight="30" customHeight="1"/>
  <cols>
    <col min="1" max="1" width="2.7109375" style="25" customWidth="1"/>
    <col min="2" max="2" width="45.140625" customWidth="1"/>
    <col min="3" max="3" width="30.7109375" customWidth="1"/>
    <col min="4" max="4" width="10.7109375" customWidth="1"/>
    <col min="5" max="5" width="10.42578125" style="5" customWidth="1"/>
    <col min="6" max="6" width="10.42578125" customWidth="1"/>
    <col min="7" max="7" width="3.140625" customWidth="1"/>
    <col min="8" max="8" width="6.140625" hidden="1" customWidth="1"/>
    <col min="9" max="92" width="3.140625" customWidth="1"/>
  </cols>
  <sheetData>
    <row r="1" spans="1:92" ht="30" customHeight="1">
      <c r="A1" s="26" t="s">
        <v>0</v>
      </c>
      <c r="B1" s="29" t="s">
        <v>1</v>
      </c>
      <c r="C1" s="1"/>
      <c r="D1" s="2"/>
      <c r="E1" s="4"/>
      <c r="F1" s="24"/>
      <c r="H1" s="2"/>
      <c r="I1" s="38"/>
    </row>
    <row r="2" spans="1:92" ht="30" customHeight="1">
      <c r="A2" s="25" t="s">
        <v>2</v>
      </c>
      <c r="B2" s="30" t="s">
        <v>3</v>
      </c>
      <c r="I2" s="39"/>
    </row>
    <row r="3" spans="1:92" ht="30" customHeight="1">
      <c r="A3" s="25" t="s">
        <v>4</v>
      </c>
      <c r="B3" s="31" t="s">
        <v>5</v>
      </c>
      <c r="C3" s="128" t="s">
        <v>6</v>
      </c>
      <c r="D3" s="129"/>
      <c r="E3" s="130">
        <v>46104</v>
      </c>
      <c r="F3" s="130"/>
    </row>
    <row r="4" spans="1:92" ht="30" customHeight="1">
      <c r="A4" s="26" t="s">
        <v>7</v>
      </c>
      <c r="C4" s="128" t="s">
        <v>8</v>
      </c>
      <c r="D4" s="129"/>
      <c r="E4" s="7">
        <v>1</v>
      </c>
      <c r="I4" s="125">
        <f>I5</f>
        <v>46104</v>
      </c>
      <c r="J4" s="126"/>
      <c r="K4" s="126"/>
      <c r="L4" s="126"/>
      <c r="M4" s="126"/>
      <c r="N4" s="126"/>
      <c r="O4" s="127"/>
      <c r="P4" s="125">
        <f>P5</f>
        <v>46111</v>
      </c>
      <c r="Q4" s="126"/>
      <c r="R4" s="126"/>
      <c r="S4" s="126"/>
      <c r="T4" s="126"/>
      <c r="U4" s="126"/>
      <c r="V4" s="127"/>
      <c r="W4" s="125">
        <f>W5</f>
        <v>46118</v>
      </c>
      <c r="X4" s="126"/>
      <c r="Y4" s="126"/>
      <c r="Z4" s="126"/>
      <c r="AA4" s="126"/>
      <c r="AB4" s="126"/>
      <c r="AC4" s="127"/>
      <c r="AD4" s="125">
        <f>AD5</f>
        <v>46125</v>
      </c>
      <c r="AE4" s="126"/>
      <c r="AF4" s="126"/>
      <c r="AG4" s="126"/>
      <c r="AH4" s="126"/>
      <c r="AI4" s="126"/>
      <c r="AJ4" s="127"/>
      <c r="AK4" s="125">
        <f>AK5</f>
        <v>46132</v>
      </c>
      <c r="AL4" s="126"/>
      <c r="AM4" s="126"/>
      <c r="AN4" s="126"/>
      <c r="AO4" s="126"/>
      <c r="AP4" s="126"/>
      <c r="AQ4" s="127"/>
      <c r="AR4" s="125">
        <f>AR5</f>
        <v>46139</v>
      </c>
      <c r="AS4" s="126"/>
      <c r="AT4" s="126"/>
      <c r="AU4" s="126"/>
      <c r="AV4" s="126"/>
      <c r="AW4" s="126"/>
      <c r="AX4" s="127"/>
      <c r="AY4" s="125">
        <f>AY5</f>
        <v>46146</v>
      </c>
      <c r="AZ4" s="126"/>
      <c r="BA4" s="126"/>
      <c r="BB4" s="126"/>
      <c r="BC4" s="126"/>
      <c r="BD4" s="126"/>
      <c r="BE4" s="127"/>
      <c r="BF4" s="125">
        <f>BF5</f>
        <v>46153</v>
      </c>
      <c r="BG4" s="126"/>
      <c r="BH4" s="126"/>
      <c r="BI4" s="126"/>
      <c r="BJ4" s="126"/>
      <c r="BK4" s="126"/>
      <c r="BL4" s="127"/>
      <c r="BM4" s="125">
        <f>BM5</f>
        <v>46160</v>
      </c>
      <c r="BN4" s="126"/>
      <c r="BO4" s="126"/>
      <c r="BP4" s="126"/>
      <c r="BQ4" s="126"/>
      <c r="BR4" s="126"/>
      <c r="BS4" s="127"/>
      <c r="BT4" s="125">
        <f>BT5</f>
        <v>46167</v>
      </c>
      <c r="BU4" s="126"/>
      <c r="BV4" s="126"/>
      <c r="BW4" s="126"/>
      <c r="BX4" s="126"/>
      <c r="BY4" s="126"/>
      <c r="BZ4" s="127"/>
      <c r="CA4" s="125">
        <f>CA5</f>
        <v>46174</v>
      </c>
      <c r="CB4" s="126"/>
      <c r="CC4" s="126"/>
      <c r="CD4" s="126"/>
      <c r="CE4" s="126"/>
      <c r="CF4" s="126"/>
      <c r="CG4" s="127"/>
      <c r="CH4" s="125">
        <f>CH5</f>
        <v>46181</v>
      </c>
      <c r="CI4" s="126"/>
      <c r="CJ4" s="126"/>
      <c r="CK4" s="126"/>
      <c r="CL4" s="126"/>
      <c r="CM4" s="126"/>
      <c r="CN4" s="127"/>
    </row>
    <row r="5" spans="1:92" ht="15" customHeight="1">
      <c r="A5" s="26" t="s">
        <v>9</v>
      </c>
      <c r="B5" s="37"/>
      <c r="C5" s="37"/>
      <c r="D5" s="37"/>
      <c r="E5" s="37"/>
      <c r="F5" s="37"/>
      <c r="G5" s="37"/>
      <c r="I5" s="44">
        <f>Inicio_del_proyecto-WEEKDAY(Inicio_del_proyecto,1)+2+7*(Semana_para_mostrar-1)</f>
        <v>46104</v>
      </c>
      <c r="J5" s="45">
        <f>I5+1</f>
        <v>46105</v>
      </c>
      <c r="K5" s="45">
        <f t="shared" ref="K5:AX5" si="0">J5+1</f>
        <v>46106</v>
      </c>
      <c r="L5" s="45">
        <f t="shared" si="0"/>
        <v>46107</v>
      </c>
      <c r="M5" s="45">
        <f t="shared" si="0"/>
        <v>46108</v>
      </c>
      <c r="N5" s="45">
        <f t="shared" si="0"/>
        <v>46109</v>
      </c>
      <c r="O5" s="46">
        <f t="shared" si="0"/>
        <v>46110</v>
      </c>
      <c r="P5" s="44">
        <f>O5+1</f>
        <v>46111</v>
      </c>
      <c r="Q5" s="45">
        <f>P5+1</f>
        <v>46112</v>
      </c>
      <c r="R5" s="45">
        <f t="shared" si="0"/>
        <v>46113</v>
      </c>
      <c r="S5" s="45">
        <f t="shared" si="0"/>
        <v>46114</v>
      </c>
      <c r="T5" s="45">
        <f t="shared" si="0"/>
        <v>46115</v>
      </c>
      <c r="U5" s="45">
        <f t="shared" si="0"/>
        <v>46116</v>
      </c>
      <c r="V5" s="46">
        <f t="shared" si="0"/>
        <v>46117</v>
      </c>
      <c r="W5" s="44">
        <f>V5+1</f>
        <v>46118</v>
      </c>
      <c r="X5" s="45">
        <f>W5+1</f>
        <v>46119</v>
      </c>
      <c r="Y5" s="45">
        <f t="shared" si="0"/>
        <v>46120</v>
      </c>
      <c r="Z5" s="45">
        <f t="shared" si="0"/>
        <v>46121</v>
      </c>
      <c r="AA5" s="45">
        <f t="shared" si="0"/>
        <v>46122</v>
      </c>
      <c r="AB5" s="45">
        <f t="shared" si="0"/>
        <v>46123</v>
      </c>
      <c r="AC5" s="46">
        <f t="shared" si="0"/>
        <v>46124</v>
      </c>
      <c r="AD5" s="44">
        <f>AC5+1</f>
        <v>46125</v>
      </c>
      <c r="AE5" s="45">
        <f>AD5+1</f>
        <v>46126</v>
      </c>
      <c r="AF5" s="45">
        <f t="shared" si="0"/>
        <v>46127</v>
      </c>
      <c r="AG5" s="45">
        <f t="shared" si="0"/>
        <v>46128</v>
      </c>
      <c r="AH5" s="45">
        <f t="shared" si="0"/>
        <v>46129</v>
      </c>
      <c r="AI5" s="45">
        <f t="shared" si="0"/>
        <v>46130</v>
      </c>
      <c r="AJ5" s="46">
        <f t="shared" si="0"/>
        <v>46131</v>
      </c>
      <c r="AK5" s="44">
        <f>AJ5+1</f>
        <v>46132</v>
      </c>
      <c r="AL5" s="45">
        <f>AK5+1</f>
        <v>46133</v>
      </c>
      <c r="AM5" s="45">
        <f t="shared" si="0"/>
        <v>46134</v>
      </c>
      <c r="AN5" s="45">
        <f t="shared" si="0"/>
        <v>46135</v>
      </c>
      <c r="AO5" s="45">
        <f t="shared" si="0"/>
        <v>46136</v>
      </c>
      <c r="AP5" s="45">
        <f t="shared" si="0"/>
        <v>46137</v>
      </c>
      <c r="AQ5" s="46">
        <f t="shared" si="0"/>
        <v>46138</v>
      </c>
      <c r="AR5" s="44">
        <f>AQ5+1</f>
        <v>46139</v>
      </c>
      <c r="AS5" s="45">
        <f>AR5+1</f>
        <v>46140</v>
      </c>
      <c r="AT5" s="45">
        <f t="shared" si="0"/>
        <v>46141</v>
      </c>
      <c r="AU5" s="45">
        <f t="shared" si="0"/>
        <v>46142</v>
      </c>
      <c r="AV5" s="45">
        <f t="shared" si="0"/>
        <v>46143</v>
      </c>
      <c r="AW5" s="45">
        <f t="shared" si="0"/>
        <v>46144</v>
      </c>
      <c r="AX5" s="46">
        <f t="shared" si="0"/>
        <v>46145</v>
      </c>
      <c r="AY5" s="44">
        <f>AX5+1</f>
        <v>46146</v>
      </c>
      <c r="AZ5" s="45">
        <f>AY5+1</f>
        <v>46147</v>
      </c>
      <c r="BA5" s="45">
        <f t="shared" ref="BA5:BE5" si="1">AZ5+1</f>
        <v>46148</v>
      </c>
      <c r="BB5" s="45">
        <f t="shared" si="1"/>
        <v>46149</v>
      </c>
      <c r="BC5" s="45">
        <f t="shared" si="1"/>
        <v>46150</v>
      </c>
      <c r="BD5" s="45">
        <f t="shared" si="1"/>
        <v>46151</v>
      </c>
      <c r="BE5" s="46">
        <f t="shared" si="1"/>
        <v>46152</v>
      </c>
      <c r="BF5" s="44">
        <f>BE5+1</f>
        <v>46153</v>
      </c>
      <c r="BG5" s="45">
        <f>BF5+1</f>
        <v>46154</v>
      </c>
      <c r="BH5" s="45">
        <f t="shared" ref="BH5:BK5" si="2">BG5+1</f>
        <v>46155</v>
      </c>
      <c r="BI5" s="45">
        <f t="shared" si="2"/>
        <v>46156</v>
      </c>
      <c r="BJ5" s="45">
        <f t="shared" si="2"/>
        <v>46157</v>
      </c>
      <c r="BK5" s="45">
        <f t="shared" si="2"/>
        <v>46158</v>
      </c>
      <c r="BL5" s="46">
        <f>BK5+1</f>
        <v>46159</v>
      </c>
      <c r="BM5" s="44">
        <f>BL5+1</f>
        <v>46160</v>
      </c>
      <c r="BN5" s="45">
        <f>BM5+1</f>
        <v>46161</v>
      </c>
      <c r="BO5" s="45">
        <f t="shared" ref="BO5" si="3">BN5+1</f>
        <v>46162</v>
      </c>
      <c r="BP5" s="45">
        <f t="shared" ref="BP5" si="4">BO5+1</f>
        <v>46163</v>
      </c>
      <c r="BQ5" s="45">
        <f t="shared" ref="BQ5" si="5">BP5+1</f>
        <v>46164</v>
      </c>
      <c r="BR5" s="45">
        <f t="shared" ref="BR5" si="6">BQ5+1</f>
        <v>46165</v>
      </c>
      <c r="BS5" s="46">
        <f>BR5+1</f>
        <v>46166</v>
      </c>
      <c r="BT5" s="44">
        <f>BS5+1</f>
        <v>46167</v>
      </c>
      <c r="BU5" s="45">
        <f>BT5+1</f>
        <v>46168</v>
      </c>
      <c r="BV5" s="45">
        <f t="shared" ref="BV5" si="7">BU5+1</f>
        <v>46169</v>
      </c>
      <c r="BW5" s="45">
        <f t="shared" ref="BW5" si="8">BV5+1</f>
        <v>46170</v>
      </c>
      <c r="BX5" s="45">
        <f t="shared" ref="BX5" si="9">BW5+1</f>
        <v>46171</v>
      </c>
      <c r="BY5" s="45">
        <f t="shared" ref="BY5" si="10">BX5+1</f>
        <v>46172</v>
      </c>
      <c r="BZ5" s="46">
        <f>BY5+1</f>
        <v>46173</v>
      </c>
      <c r="CA5" s="44">
        <f>BZ5+1</f>
        <v>46174</v>
      </c>
      <c r="CB5" s="45">
        <f>CA5+1</f>
        <v>46175</v>
      </c>
      <c r="CC5" s="45">
        <f t="shared" ref="CC5" si="11">CB5+1</f>
        <v>46176</v>
      </c>
      <c r="CD5" s="45">
        <f t="shared" ref="CD5" si="12">CC5+1</f>
        <v>46177</v>
      </c>
      <c r="CE5" s="45">
        <f t="shared" ref="CE5" si="13">CD5+1</f>
        <v>46178</v>
      </c>
      <c r="CF5" s="45">
        <f t="shared" ref="CF5" si="14">CE5+1</f>
        <v>46179</v>
      </c>
      <c r="CG5" s="46">
        <f>CF5+1</f>
        <v>46180</v>
      </c>
      <c r="CH5" s="44">
        <f>CG5+1</f>
        <v>46181</v>
      </c>
      <c r="CI5" s="45">
        <f>CH5+1</f>
        <v>46182</v>
      </c>
      <c r="CJ5" s="45">
        <f t="shared" ref="CJ5" si="15">CI5+1</f>
        <v>46183</v>
      </c>
      <c r="CK5" s="45">
        <f t="shared" ref="CK5" si="16">CJ5+1</f>
        <v>46184</v>
      </c>
      <c r="CL5" s="45">
        <f t="shared" ref="CL5" si="17">CK5+1</f>
        <v>46185</v>
      </c>
      <c r="CM5" s="45">
        <f t="shared" ref="CM5" si="18">CL5+1</f>
        <v>46186</v>
      </c>
      <c r="CN5" s="46">
        <f>CM5+1</f>
        <v>46187</v>
      </c>
    </row>
    <row r="6" spans="1:92" ht="30" customHeight="1" thickBot="1">
      <c r="A6" s="26" t="s">
        <v>10</v>
      </c>
      <c r="B6" s="8" t="s">
        <v>11</v>
      </c>
      <c r="C6" s="9" t="s">
        <v>12</v>
      </c>
      <c r="D6" s="9" t="s">
        <v>13</v>
      </c>
      <c r="E6" s="9" t="s">
        <v>14</v>
      </c>
      <c r="F6" s="9" t="s">
        <v>15</v>
      </c>
      <c r="G6" s="9"/>
      <c r="H6" s="9" t="s">
        <v>16</v>
      </c>
      <c r="I6" s="10" t="str">
        <f t="shared" ref="I6" si="19">LEFT(TEXT(I5,"ddd"),1)</f>
        <v>l</v>
      </c>
      <c r="J6" s="10" t="str">
        <f t="shared" ref="J6:AR6" si="20">LEFT(TEXT(J5,"ddd"),1)</f>
        <v>m</v>
      </c>
      <c r="K6" s="10" t="str">
        <f t="shared" si="20"/>
        <v>m</v>
      </c>
      <c r="L6" s="10" t="str">
        <f t="shared" si="20"/>
        <v>j</v>
      </c>
      <c r="M6" s="10" t="str">
        <f t="shared" si="20"/>
        <v>v</v>
      </c>
      <c r="N6" s="10" t="str">
        <f t="shared" si="20"/>
        <v>s</v>
      </c>
      <c r="O6" s="10" t="str">
        <f t="shared" si="20"/>
        <v>d</v>
      </c>
      <c r="P6" s="10" t="str">
        <f t="shared" si="20"/>
        <v>l</v>
      </c>
      <c r="Q6" s="10" t="str">
        <f t="shared" si="20"/>
        <v>m</v>
      </c>
      <c r="R6" s="10" t="str">
        <f t="shared" si="20"/>
        <v>m</v>
      </c>
      <c r="S6" s="10" t="str">
        <f t="shared" si="20"/>
        <v>j</v>
      </c>
      <c r="T6" s="10" t="str">
        <f t="shared" si="20"/>
        <v>v</v>
      </c>
      <c r="U6" s="10" t="str">
        <f t="shared" si="20"/>
        <v>s</v>
      </c>
      <c r="V6" s="10" t="str">
        <f t="shared" si="20"/>
        <v>d</v>
      </c>
      <c r="W6" s="10" t="str">
        <f t="shared" si="20"/>
        <v>l</v>
      </c>
      <c r="X6" s="10" t="str">
        <f t="shared" si="20"/>
        <v>m</v>
      </c>
      <c r="Y6" s="10" t="str">
        <f t="shared" si="20"/>
        <v>m</v>
      </c>
      <c r="Z6" s="10" t="str">
        <f t="shared" si="20"/>
        <v>j</v>
      </c>
      <c r="AA6" s="10" t="str">
        <f t="shared" si="20"/>
        <v>v</v>
      </c>
      <c r="AB6" s="10" t="str">
        <f t="shared" si="20"/>
        <v>s</v>
      </c>
      <c r="AC6" s="10" t="str">
        <f t="shared" si="20"/>
        <v>d</v>
      </c>
      <c r="AD6" s="10" t="str">
        <f t="shared" si="20"/>
        <v>l</v>
      </c>
      <c r="AE6" s="10" t="str">
        <f t="shared" si="20"/>
        <v>m</v>
      </c>
      <c r="AF6" s="10" t="str">
        <f t="shared" si="20"/>
        <v>m</v>
      </c>
      <c r="AG6" s="10" t="str">
        <f t="shared" si="20"/>
        <v>j</v>
      </c>
      <c r="AH6" s="10" t="str">
        <f t="shared" si="20"/>
        <v>v</v>
      </c>
      <c r="AI6" s="10" t="str">
        <f t="shared" si="20"/>
        <v>s</v>
      </c>
      <c r="AJ6" s="10" t="str">
        <f t="shared" si="20"/>
        <v>d</v>
      </c>
      <c r="AK6" s="10" t="str">
        <f t="shared" si="20"/>
        <v>l</v>
      </c>
      <c r="AL6" s="10" t="str">
        <f t="shared" si="20"/>
        <v>m</v>
      </c>
      <c r="AM6" s="10" t="str">
        <f t="shared" si="20"/>
        <v>m</v>
      </c>
      <c r="AN6" s="10" t="str">
        <f t="shared" si="20"/>
        <v>j</v>
      </c>
      <c r="AO6" s="10" t="str">
        <f t="shared" si="20"/>
        <v>v</v>
      </c>
      <c r="AP6" s="10" t="str">
        <f t="shared" si="20"/>
        <v>s</v>
      </c>
      <c r="AQ6" s="10" t="str">
        <f t="shared" si="20"/>
        <v>d</v>
      </c>
      <c r="AR6" s="10" t="str">
        <f t="shared" si="20"/>
        <v>l</v>
      </c>
      <c r="AS6" s="10" t="str">
        <f t="shared" ref="AS6:BL6" si="21">LEFT(TEXT(AS5,"ddd"),1)</f>
        <v>m</v>
      </c>
      <c r="AT6" s="10" t="str">
        <f t="shared" si="21"/>
        <v>m</v>
      </c>
      <c r="AU6" s="10" t="str">
        <f t="shared" si="21"/>
        <v>j</v>
      </c>
      <c r="AV6" s="10" t="str">
        <f t="shared" si="21"/>
        <v>v</v>
      </c>
      <c r="AW6" s="10" t="str">
        <f t="shared" si="21"/>
        <v>s</v>
      </c>
      <c r="AX6" s="10" t="str">
        <f t="shared" si="21"/>
        <v>d</v>
      </c>
      <c r="AY6" s="10" t="str">
        <f t="shared" si="21"/>
        <v>l</v>
      </c>
      <c r="AZ6" s="10" t="str">
        <f t="shared" si="21"/>
        <v>m</v>
      </c>
      <c r="BA6" s="10" t="str">
        <f t="shared" si="21"/>
        <v>m</v>
      </c>
      <c r="BB6" s="10" t="str">
        <f t="shared" si="21"/>
        <v>j</v>
      </c>
      <c r="BC6" s="10" t="str">
        <f t="shared" si="21"/>
        <v>v</v>
      </c>
      <c r="BD6" s="10" t="str">
        <f t="shared" si="21"/>
        <v>s</v>
      </c>
      <c r="BE6" s="10" t="str">
        <f t="shared" si="21"/>
        <v>d</v>
      </c>
      <c r="BF6" s="10" t="str">
        <f t="shared" si="21"/>
        <v>l</v>
      </c>
      <c r="BG6" s="10" t="str">
        <f t="shared" si="21"/>
        <v>m</v>
      </c>
      <c r="BH6" s="10" t="str">
        <f t="shared" si="21"/>
        <v>m</v>
      </c>
      <c r="BI6" s="10" t="str">
        <f t="shared" si="21"/>
        <v>j</v>
      </c>
      <c r="BJ6" s="10" t="str">
        <f t="shared" si="21"/>
        <v>v</v>
      </c>
      <c r="BK6" s="10" t="str">
        <f t="shared" si="21"/>
        <v>s</v>
      </c>
      <c r="BL6" s="10" t="str">
        <f t="shared" si="21"/>
        <v>d</v>
      </c>
      <c r="BM6" s="10" t="str">
        <f t="shared" ref="BM6:BS6" si="22">LEFT(TEXT(BM5,"ddd"),1)</f>
        <v>l</v>
      </c>
      <c r="BN6" s="10" t="str">
        <f t="shared" si="22"/>
        <v>m</v>
      </c>
      <c r="BO6" s="10" t="str">
        <f t="shared" si="22"/>
        <v>m</v>
      </c>
      <c r="BP6" s="10" t="str">
        <f t="shared" si="22"/>
        <v>j</v>
      </c>
      <c r="BQ6" s="10" t="str">
        <f t="shared" si="22"/>
        <v>v</v>
      </c>
      <c r="BR6" s="10" t="str">
        <f t="shared" si="22"/>
        <v>s</v>
      </c>
      <c r="BS6" s="10" t="str">
        <f t="shared" si="22"/>
        <v>d</v>
      </c>
      <c r="BT6" s="10" t="str">
        <f t="shared" ref="BT6:CN6" si="23">LEFT(TEXT(BT5,"ddd"),1)</f>
        <v>l</v>
      </c>
      <c r="BU6" s="10" t="str">
        <f t="shared" si="23"/>
        <v>m</v>
      </c>
      <c r="BV6" s="10" t="str">
        <f t="shared" si="23"/>
        <v>m</v>
      </c>
      <c r="BW6" s="10" t="str">
        <f t="shared" si="23"/>
        <v>j</v>
      </c>
      <c r="BX6" s="10" t="str">
        <f t="shared" si="23"/>
        <v>v</v>
      </c>
      <c r="BY6" s="10" t="str">
        <f t="shared" si="23"/>
        <v>s</v>
      </c>
      <c r="BZ6" s="10" t="str">
        <f t="shared" si="23"/>
        <v>d</v>
      </c>
      <c r="CA6" s="10" t="str">
        <f t="shared" si="23"/>
        <v>l</v>
      </c>
      <c r="CB6" s="10" t="str">
        <f t="shared" si="23"/>
        <v>m</v>
      </c>
      <c r="CC6" s="10" t="str">
        <f t="shared" si="23"/>
        <v>m</v>
      </c>
      <c r="CD6" s="10" t="str">
        <f t="shared" si="23"/>
        <v>j</v>
      </c>
      <c r="CE6" s="10" t="str">
        <f t="shared" si="23"/>
        <v>v</v>
      </c>
      <c r="CF6" s="10" t="str">
        <f t="shared" si="23"/>
        <v>s</v>
      </c>
      <c r="CG6" s="10" t="str">
        <f t="shared" si="23"/>
        <v>d</v>
      </c>
      <c r="CH6" s="10" t="str">
        <f t="shared" si="23"/>
        <v>l</v>
      </c>
      <c r="CI6" s="10" t="str">
        <f t="shared" si="23"/>
        <v>m</v>
      </c>
      <c r="CJ6" s="10" t="str">
        <f t="shared" si="23"/>
        <v>m</v>
      </c>
      <c r="CK6" s="66" t="str">
        <f t="shared" si="23"/>
        <v>j</v>
      </c>
      <c r="CL6" s="10" t="str">
        <f t="shared" si="23"/>
        <v>v</v>
      </c>
      <c r="CM6" s="10" t="str">
        <f t="shared" si="23"/>
        <v>s</v>
      </c>
      <c r="CN6" s="10" t="str">
        <f t="shared" si="23"/>
        <v>d</v>
      </c>
    </row>
    <row r="7" spans="1:92" ht="30" hidden="1" customHeight="1" thickBot="1">
      <c r="A7" s="25" t="s">
        <v>17</v>
      </c>
      <c r="C7" s="28"/>
      <c r="E7"/>
      <c r="H7" t="str">
        <f ca="1">IF(OR(ISBLANK(task_start),ISBLANK(task_end)),"",task_end-task_start+1)</f>
        <v/>
      </c>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71"/>
      <c r="CL7" s="21"/>
      <c r="CM7" s="21"/>
      <c r="CN7" s="21"/>
    </row>
    <row r="8" spans="1:92" s="3" customFormat="1" ht="30" customHeight="1" thickBot="1">
      <c r="A8" s="26" t="s">
        <v>18</v>
      </c>
      <c r="B8" s="108" t="s">
        <v>19</v>
      </c>
      <c r="C8" s="109"/>
      <c r="D8" s="110">
        <f>SUM(D9:D11)/COUNT(D9:D11)</f>
        <v>0.75</v>
      </c>
      <c r="E8" s="111">
        <v>46104</v>
      </c>
      <c r="F8" s="112">
        <v>46107</v>
      </c>
      <c r="G8" s="14"/>
      <c r="H8" s="14">
        <f t="shared" ref="H8:H34" ca="1" si="24">IF(OR(ISBLANK(task_start),ISBLANK(task_end)),"",task_end-task_start+1)</f>
        <v>4</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67"/>
      <c r="CK8" s="76"/>
      <c r="CL8" s="69"/>
      <c r="CM8" s="21"/>
      <c r="CN8" s="21"/>
    </row>
    <row r="9" spans="1:92" s="3" customFormat="1" ht="30" customHeight="1" thickBot="1">
      <c r="A9" s="26" t="s">
        <v>20</v>
      </c>
      <c r="B9" s="113" t="s">
        <v>21</v>
      </c>
      <c r="C9" s="114" t="s">
        <v>22</v>
      </c>
      <c r="D9" s="115">
        <v>1</v>
      </c>
      <c r="E9" s="116">
        <f>Inicio_del_proyecto</f>
        <v>46104</v>
      </c>
      <c r="F9" s="116">
        <f>E9+1</f>
        <v>46105</v>
      </c>
      <c r="G9" s="14"/>
      <c r="H9" s="14">
        <f t="shared" ca="1" si="24"/>
        <v>2</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67"/>
      <c r="CK9" s="77"/>
      <c r="CL9" s="69"/>
      <c r="CM9" s="21"/>
      <c r="CN9" s="21"/>
    </row>
    <row r="10" spans="1:92" s="3" customFormat="1" ht="30" customHeight="1" thickBot="1">
      <c r="A10" s="26" t="s">
        <v>23</v>
      </c>
      <c r="B10" s="117" t="s">
        <v>24</v>
      </c>
      <c r="C10" s="118" t="s">
        <v>22</v>
      </c>
      <c r="D10" s="119">
        <v>0.25</v>
      </c>
      <c r="E10" s="120">
        <f>F9</f>
        <v>46105</v>
      </c>
      <c r="F10" s="120">
        <f>E10+2</f>
        <v>46107</v>
      </c>
      <c r="G10" s="14"/>
      <c r="H10" s="14">
        <f t="shared" ca="1" si="24"/>
        <v>3</v>
      </c>
      <c r="I10" s="21"/>
      <c r="J10" s="21"/>
      <c r="K10" s="21"/>
      <c r="L10" s="21"/>
      <c r="M10" s="21"/>
      <c r="N10" s="21"/>
      <c r="O10" s="21"/>
      <c r="P10" s="21"/>
      <c r="Q10" s="21"/>
      <c r="R10" s="21"/>
      <c r="S10" s="21"/>
      <c r="T10" s="21"/>
      <c r="U10" s="22"/>
      <c r="V10" s="22"/>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67"/>
      <c r="CK10" s="77"/>
      <c r="CL10" s="69"/>
      <c r="CM10" s="21"/>
      <c r="CN10" s="21"/>
    </row>
    <row r="11" spans="1:92" s="3" customFormat="1" ht="30" customHeight="1" thickBot="1">
      <c r="A11" s="25"/>
      <c r="B11" s="121" t="s">
        <v>25</v>
      </c>
      <c r="C11" s="122" t="s">
        <v>22</v>
      </c>
      <c r="D11" s="123">
        <v>1</v>
      </c>
      <c r="E11" s="124">
        <f>F10</f>
        <v>46107</v>
      </c>
      <c r="F11" s="124">
        <f>E11+4</f>
        <v>46111</v>
      </c>
      <c r="G11" s="14"/>
      <c r="H11" s="14">
        <f t="shared" ca="1" si="24"/>
        <v>5</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67"/>
      <c r="CK11" s="77"/>
      <c r="CL11" s="69"/>
      <c r="CM11" s="21"/>
      <c r="CN11" s="21"/>
    </row>
    <row r="12" spans="1:92" s="3" customFormat="1" ht="30" customHeight="1" thickBot="1">
      <c r="A12" s="26" t="s">
        <v>26</v>
      </c>
      <c r="B12" s="47" t="s">
        <v>27</v>
      </c>
      <c r="C12" s="48"/>
      <c r="D12" s="49">
        <f>SUM(D13,D17,D21,D22)/COUNT(D13,D17,D21,D22)</f>
        <v>0.1</v>
      </c>
      <c r="E12" s="50">
        <v>46107</v>
      </c>
      <c r="F12" s="51">
        <v>46142</v>
      </c>
      <c r="G12" s="14"/>
      <c r="H12" s="14">
        <f t="shared" ca="1" si="24"/>
        <v>36</v>
      </c>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67"/>
      <c r="CK12" s="77"/>
      <c r="CL12" s="69"/>
      <c r="CM12" s="21"/>
      <c r="CN12" s="21"/>
    </row>
    <row r="13" spans="1:92" s="3" customFormat="1" ht="30" customHeight="1" thickBot="1">
      <c r="A13" s="26"/>
      <c r="B13" s="52" t="s">
        <v>28</v>
      </c>
      <c r="C13" s="53" t="s">
        <v>22</v>
      </c>
      <c r="D13" s="54">
        <f>SUM(D14:D16)/COUNT(D14:D16)</f>
        <v>0</v>
      </c>
      <c r="E13" s="55">
        <f>E12</f>
        <v>46107</v>
      </c>
      <c r="F13" s="55">
        <f>E13+7</f>
        <v>46114</v>
      </c>
      <c r="G13" s="14"/>
      <c r="H13" s="14">
        <f t="shared" ca="1" si="24"/>
        <v>8</v>
      </c>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67"/>
      <c r="CK13" s="77"/>
      <c r="CL13" s="69"/>
      <c r="CM13" s="21"/>
      <c r="CN13" s="21"/>
    </row>
    <row r="14" spans="1:92" s="3" customFormat="1" ht="30" customHeight="1" thickBot="1">
      <c r="A14" s="26"/>
      <c r="B14" s="35" t="s">
        <v>29</v>
      </c>
      <c r="C14" s="33"/>
      <c r="D14" s="16">
        <v>0</v>
      </c>
      <c r="E14" s="40">
        <f>E13</f>
        <v>46107</v>
      </c>
      <c r="F14" s="40">
        <f>E14+1</f>
        <v>46108</v>
      </c>
      <c r="G14" s="14"/>
      <c r="H14" s="1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67"/>
      <c r="CK14" s="77"/>
      <c r="CL14" s="69"/>
      <c r="CM14" s="21"/>
      <c r="CN14" s="21"/>
    </row>
    <row r="15" spans="1:92" s="3" customFormat="1" ht="30" customHeight="1" thickBot="1">
      <c r="A15" s="26"/>
      <c r="B15" s="35" t="s">
        <v>30</v>
      </c>
      <c r="C15" s="33"/>
      <c r="D15" s="16">
        <v>0</v>
      </c>
      <c r="E15" s="40">
        <f>F14+1</f>
        <v>46109</v>
      </c>
      <c r="F15" s="40">
        <f>E15+1</f>
        <v>46110</v>
      </c>
      <c r="G15" s="14"/>
      <c r="H15" s="14"/>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67"/>
      <c r="CK15" s="77"/>
      <c r="CL15" s="69"/>
      <c r="CM15" s="21"/>
      <c r="CN15" s="21"/>
    </row>
    <row r="16" spans="1:92" s="3" customFormat="1" ht="30" customHeight="1" thickBot="1">
      <c r="A16" s="26"/>
      <c r="B16" s="35" t="s">
        <v>31</v>
      </c>
      <c r="C16" s="33"/>
      <c r="D16" s="16">
        <v>0</v>
      </c>
      <c r="E16" s="40">
        <f>F15+1</f>
        <v>46111</v>
      </c>
      <c r="F16" s="40">
        <f>E16+2</f>
        <v>46113</v>
      </c>
      <c r="G16" s="14"/>
      <c r="H16" s="14"/>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67"/>
      <c r="CK16" s="77"/>
      <c r="CL16" s="69"/>
      <c r="CM16" s="21"/>
      <c r="CN16" s="21"/>
    </row>
    <row r="17" spans="1:92" s="3" customFormat="1" ht="30" customHeight="1" thickBot="1">
      <c r="A17" s="25"/>
      <c r="B17" s="56" t="s">
        <v>32</v>
      </c>
      <c r="C17" s="32" t="s">
        <v>22</v>
      </c>
      <c r="D17" s="15">
        <f>SUM(D18)/COUNT(D18)</f>
        <v>0.4</v>
      </c>
      <c r="E17" s="57">
        <f>E21+1</f>
        <v>46115</v>
      </c>
      <c r="F17" s="57">
        <f>E17+21</f>
        <v>46136</v>
      </c>
      <c r="G17" s="14"/>
      <c r="H17" s="14">
        <f t="shared" ca="1" si="24"/>
        <v>22</v>
      </c>
      <c r="I17" s="21"/>
      <c r="J17" s="21"/>
      <c r="K17" s="21"/>
      <c r="L17" s="21"/>
      <c r="M17" s="21"/>
      <c r="N17" s="21"/>
      <c r="O17" s="21"/>
      <c r="P17" s="21"/>
      <c r="Q17" s="21"/>
      <c r="R17" s="21"/>
      <c r="S17" s="21"/>
      <c r="T17" s="21"/>
      <c r="U17" s="22"/>
      <c r="V17" s="22"/>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67"/>
      <c r="CK17" s="77"/>
      <c r="CL17" s="69"/>
      <c r="CM17" s="21"/>
      <c r="CN17" s="21"/>
    </row>
    <row r="18" spans="1:92" s="3" customFormat="1" ht="30" customHeight="1" thickBot="1">
      <c r="A18" s="25"/>
      <c r="B18" s="35" t="s">
        <v>33</v>
      </c>
      <c r="C18" s="33"/>
      <c r="D18" s="16">
        <v>0.4</v>
      </c>
      <c r="E18" s="40">
        <f>Inicio_del_proyecto</f>
        <v>46104</v>
      </c>
      <c r="F18" s="40">
        <f>E17+1</f>
        <v>46116</v>
      </c>
      <c r="G18" s="14"/>
      <c r="H18" s="14"/>
      <c r="I18" s="21"/>
      <c r="J18" s="21"/>
      <c r="K18" s="21"/>
      <c r="L18" s="21"/>
      <c r="M18" s="21"/>
      <c r="N18" s="21"/>
      <c r="O18" s="21"/>
      <c r="P18" s="21"/>
      <c r="Q18" s="21"/>
      <c r="R18" s="21"/>
      <c r="S18" s="21"/>
      <c r="T18" s="21"/>
      <c r="U18" s="22"/>
      <c r="V18" s="22"/>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67"/>
      <c r="CK18" s="77"/>
      <c r="CL18" s="69"/>
      <c r="CM18" s="21"/>
      <c r="CN18" s="21"/>
    </row>
    <row r="19" spans="1:92" s="3" customFormat="1" ht="30" customHeight="1" thickBot="1">
      <c r="A19" s="25"/>
      <c r="B19" s="35" t="s">
        <v>34</v>
      </c>
      <c r="C19" s="33"/>
      <c r="D19" s="16">
        <v>0</v>
      </c>
      <c r="E19" s="40">
        <f>F18</f>
        <v>46116</v>
      </c>
      <c r="F19" s="40">
        <f>F17</f>
        <v>46136</v>
      </c>
      <c r="G19" s="14"/>
      <c r="H19" s="14"/>
      <c r="I19" s="21"/>
      <c r="J19" s="21"/>
      <c r="K19" s="21"/>
      <c r="L19" s="21"/>
      <c r="M19" s="21"/>
      <c r="N19" s="21"/>
      <c r="O19" s="21"/>
      <c r="P19" s="21"/>
      <c r="Q19" s="21"/>
      <c r="R19" s="21"/>
      <c r="S19" s="21"/>
      <c r="T19" s="21"/>
      <c r="U19" s="22"/>
      <c r="V19" s="22"/>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67"/>
      <c r="CK19" s="77"/>
      <c r="CL19" s="69"/>
      <c r="CM19" s="21"/>
      <c r="CN19" s="21"/>
    </row>
    <row r="20" spans="1:92" s="3" customFormat="1" ht="30" customHeight="1" thickBot="1">
      <c r="A20" s="25"/>
      <c r="B20" s="35" t="s">
        <v>35</v>
      </c>
      <c r="C20" s="33"/>
      <c r="D20" s="16"/>
      <c r="E20" s="40">
        <f>F19</f>
        <v>46136</v>
      </c>
      <c r="F20" s="40">
        <f>F12</f>
        <v>46142</v>
      </c>
      <c r="G20" s="14"/>
      <c r="H20" s="14"/>
      <c r="I20" s="21"/>
      <c r="J20" s="21"/>
      <c r="K20" s="21"/>
      <c r="L20" s="21"/>
      <c r="M20" s="21"/>
      <c r="N20" s="21"/>
      <c r="O20" s="21"/>
      <c r="P20" s="21"/>
      <c r="Q20" s="21"/>
      <c r="R20" s="21"/>
      <c r="S20" s="21"/>
      <c r="T20" s="21"/>
      <c r="U20" s="22"/>
      <c r="V20" s="22"/>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67"/>
      <c r="CK20" s="77"/>
      <c r="CL20" s="69"/>
      <c r="CM20" s="21"/>
      <c r="CN20" s="21"/>
    </row>
    <row r="21" spans="1:92" s="3" customFormat="1" ht="30" customHeight="1" thickBot="1">
      <c r="A21" s="25"/>
      <c r="B21" s="56" t="s">
        <v>36</v>
      </c>
      <c r="C21" s="32" t="s">
        <v>22</v>
      </c>
      <c r="D21" s="15">
        <v>0</v>
      </c>
      <c r="E21" s="57">
        <f>F13</f>
        <v>46114</v>
      </c>
      <c r="F21" s="57">
        <f>E21+2</f>
        <v>46116</v>
      </c>
      <c r="G21" s="14"/>
      <c r="H21" s="14">
        <f t="shared" ca="1" si="24"/>
        <v>3</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67"/>
      <c r="CK21" s="77"/>
      <c r="CL21" s="69"/>
      <c r="CM21" s="21"/>
      <c r="CN21" s="21"/>
    </row>
    <row r="22" spans="1:92" s="3" customFormat="1" ht="30" customHeight="1" thickBot="1">
      <c r="A22" s="25"/>
      <c r="B22" s="58" t="s">
        <v>37</v>
      </c>
      <c r="C22" s="59" t="s">
        <v>22</v>
      </c>
      <c r="D22" s="60">
        <v>0</v>
      </c>
      <c r="E22" s="61">
        <f>F12-4</f>
        <v>46138</v>
      </c>
      <c r="F22" s="61">
        <f>E22+4</f>
        <v>46142</v>
      </c>
      <c r="G22" s="14"/>
      <c r="H22" s="14">
        <f t="shared" ca="1" si="24"/>
        <v>5</v>
      </c>
      <c r="I22" s="21"/>
      <c r="J22" s="21"/>
      <c r="K22" s="67"/>
      <c r="L22" s="75"/>
      <c r="M22" s="21"/>
      <c r="N22" s="21"/>
      <c r="O22" s="21"/>
      <c r="P22" s="21"/>
      <c r="Q22" s="21"/>
      <c r="R22" s="21"/>
      <c r="S22" s="21"/>
      <c r="T22" s="21"/>
      <c r="U22" s="21"/>
      <c r="V22" s="21"/>
      <c r="W22" s="21"/>
      <c r="X22" s="21"/>
      <c r="Y22" s="22"/>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67"/>
      <c r="CK22" s="77"/>
      <c r="CL22" s="69"/>
      <c r="CM22" s="21"/>
      <c r="CN22" s="21"/>
    </row>
    <row r="23" spans="1:92" s="3" customFormat="1" ht="30" customHeight="1" thickBot="1">
      <c r="A23" s="25"/>
      <c r="B23" s="62" t="s">
        <v>38</v>
      </c>
      <c r="C23" s="63"/>
      <c r="D23" s="64">
        <v>0</v>
      </c>
      <c r="E23" s="65">
        <f>E22</f>
        <v>46138</v>
      </c>
      <c r="F23" s="65">
        <f>F22</f>
        <v>46142</v>
      </c>
      <c r="G23" s="14"/>
      <c r="H23" s="14"/>
      <c r="I23" s="21"/>
      <c r="J23" s="21"/>
      <c r="K23" s="21"/>
      <c r="L23" s="74"/>
      <c r="M23" s="21"/>
      <c r="N23" s="21"/>
      <c r="O23" s="21"/>
      <c r="P23" s="21"/>
      <c r="Q23" s="21"/>
      <c r="R23" s="21"/>
      <c r="S23" s="21"/>
      <c r="T23" s="21"/>
      <c r="U23" s="21"/>
      <c r="V23" s="21"/>
      <c r="W23" s="21"/>
      <c r="X23" s="21"/>
      <c r="Y23" s="22"/>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67"/>
      <c r="CK23" s="77"/>
      <c r="CL23" s="69"/>
      <c r="CM23" s="21"/>
      <c r="CN23" s="21"/>
    </row>
    <row r="24" spans="1:92" s="3" customFormat="1" ht="30" customHeight="1" thickBot="1">
      <c r="A24" s="25"/>
      <c r="B24" s="56" t="s">
        <v>39</v>
      </c>
      <c r="C24" s="59" t="s">
        <v>22</v>
      </c>
      <c r="D24" s="60">
        <v>0</v>
      </c>
      <c r="E24" s="57" t="s">
        <v>40</v>
      </c>
      <c r="F24" s="57">
        <f>F26</f>
        <v>46180</v>
      </c>
      <c r="G24" s="14"/>
      <c r="H24" s="14"/>
      <c r="I24" s="21"/>
      <c r="J24" s="21"/>
      <c r="K24" s="21"/>
      <c r="L24" s="79"/>
      <c r="M24" s="21"/>
      <c r="N24" s="21"/>
      <c r="O24" s="21"/>
      <c r="P24" s="21"/>
      <c r="Q24" s="21"/>
      <c r="R24" s="21"/>
      <c r="S24" s="21"/>
      <c r="T24" s="21"/>
      <c r="U24" s="21"/>
      <c r="V24" s="21"/>
      <c r="W24" s="21"/>
      <c r="X24" s="21"/>
      <c r="Y24" s="22"/>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67"/>
      <c r="CK24" s="77"/>
      <c r="CL24" s="69"/>
      <c r="CM24" s="21"/>
      <c r="CN24" s="21"/>
    </row>
    <row r="25" spans="1:92" s="3" customFormat="1" ht="30" customHeight="1" thickBot="1">
      <c r="A25" s="25"/>
      <c r="B25" s="56" t="s">
        <v>41</v>
      </c>
      <c r="C25" s="59" t="s">
        <v>22</v>
      </c>
      <c r="D25" s="80">
        <v>0</v>
      </c>
      <c r="E25" s="57" t="s">
        <v>40</v>
      </c>
      <c r="F25" s="57">
        <f>F26</f>
        <v>46180</v>
      </c>
      <c r="G25" s="14"/>
      <c r="H25" s="14"/>
      <c r="I25" s="21"/>
      <c r="J25" s="21"/>
      <c r="K25" s="21"/>
      <c r="L25" s="79"/>
      <c r="M25" s="21"/>
      <c r="N25" s="21"/>
      <c r="O25" s="21"/>
      <c r="P25" s="21"/>
      <c r="Q25" s="21"/>
      <c r="R25" s="21"/>
      <c r="S25" s="21"/>
      <c r="T25" s="21"/>
      <c r="U25" s="21"/>
      <c r="V25" s="21"/>
      <c r="W25" s="21"/>
      <c r="X25" s="21"/>
      <c r="Y25" s="22"/>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67"/>
      <c r="CK25" s="77"/>
      <c r="CL25" s="69"/>
      <c r="CM25" s="21"/>
      <c r="CN25" s="21"/>
    </row>
    <row r="26" spans="1:92" s="3" customFormat="1" ht="30" customHeight="1" thickBot="1">
      <c r="A26" s="25" t="s">
        <v>42</v>
      </c>
      <c r="B26" s="99" t="s">
        <v>43</v>
      </c>
      <c r="C26" s="100"/>
      <c r="D26" s="101">
        <f>SUM(D12,D27:D27)/COUNT(D12,D27:D27)</f>
        <v>0.05</v>
      </c>
      <c r="E26" s="102">
        <f>F12+1</f>
        <v>46143</v>
      </c>
      <c r="F26" s="103">
        <v>46180</v>
      </c>
      <c r="G26" s="14"/>
      <c r="H26" s="14">
        <f t="shared" ca="1" si="24"/>
        <v>38</v>
      </c>
      <c r="I26" s="21"/>
      <c r="J26" s="21"/>
      <c r="K26" s="21"/>
      <c r="L26" s="73"/>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67"/>
      <c r="CK26" s="77"/>
      <c r="CL26" s="69"/>
      <c r="CM26" s="21"/>
      <c r="CN26" s="21"/>
    </row>
    <row r="27" spans="1:92" s="3" customFormat="1" ht="30" customHeight="1" thickBot="1">
      <c r="A27" s="25"/>
      <c r="B27" s="104" t="s">
        <v>44</v>
      </c>
      <c r="C27" s="105" t="s">
        <v>22</v>
      </c>
      <c r="D27" s="106">
        <v>0</v>
      </c>
      <c r="E27" s="107">
        <f>E26</f>
        <v>46143</v>
      </c>
      <c r="F27" s="107"/>
      <c r="G27" s="14"/>
      <c r="H27" s="14" t="str">
        <f t="shared" ca="1" si="24"/>
        <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67"/>
      <c r="CK27" s="77"/>
      <c r="CL27" s="69"/>
      <c r="CM27" s="21"/>
      <c r="CN27" s="21"/>
    </row>
    <row r="28" spans="1:92" s="3" customFormat="1" ht="30" customHeight="1" thickBot="1">
      <c r="A28" s="25" t="s">
        <v>42</v>
      </c>
      <c r="B28" s="90" t="s">
        <v>45</v>
      </c>
      <c r="C28" s="91"/>
      <c r="D28" s="92">
        <f>SUM(D29:D29)/COUNT(D29:D29)</f>
        <v>0.01</v>
      </c>
      <c r="E28" s="93">
        <f>F26</f>
        <v>46180</v>
      </c>
      <c r="F28" s="94">
        <v>46184</v>
      </c>
      <c r="G28" s="14"/>
      <c r="H28" s="14">
        <f t="shared" ca="1" si="24"/>
        <v>5</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67"/>
      <c r="CK28" s="77"/>
      <c r="CL28" s="69"/>
      <c r="CM28" s="21"/>
      <c r="CN28" s="21"/>
    </row>
    <row r="29" spans="1:92" s="3" customFormat="1" ht="30" customHeight="1" thickBot="1">
      <c r="A29" s="25"/>
      <c r="B29" s="95" t="s">
        <v>46</v>
      </c>
      <c r="C29" s="96" t="s">
        <v>22</v>
      </c>
      <c r="D29" s="97">
        <v>0.01</v>
      </c>
      <c r="E29" s="98">
        <f>E28</f>
        <v>46180</v>
      </c>
      <c r="F29" s="98">
        <f>F28</f>
        <v>46184</v>
      </c>
      <c r="G29" s="14"/>
      <c r="H29" s="14">
        <f t="shared" ca="1" si="24"/>
        <v>5</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67"/>
      <c r="CK29" s="77"/>
      <c r="CL29" s="69"/>
      <c r="CM29" s="21"/>
      <c r="CN29" s="21"/>
    </row>
    <row r="30" spans="1:92" s="3" customFormat="1" ht="30" customHeight="1" thickBot="1">
      <c r="A30" s="25"/>
      <c r="B30" s="81" t="s">
        <v>47</v>
      </c>
      <c r="C30" s="82"/>
      <c r="D30" s="83">
        <f>SUM(D31:D32)/COUNT(D31:D32)</f>
        <v>0</v>
      </c>
      <c r="E30" s="84">
        <f>E12</f>
        <v>46107</v>
      </c>
      <c r="F30" s="85">
        <f>F26</f>
        <v>46180</v>
      </c>
      <c r="G30" s="14"/>
      <c r="H30" s="14"/>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67"/>
      <c r="CK30" s="77"/>
      <c r="CL30" s="69"/>
      <c r="CM30" s="21"/>
      <c r="CN30" s="21"/>
    </row>
    <row r="31" spans="1:92" s="3" customFormat="1" ht="30" customHeight="1" thickBot="1">
      <c r="A31" s="25" t="s">
        <v>48</v>
      </c>
      <c r="B31" s="86" t="s">
        <v>49</v>
      </c>
      <c r="C31" s="87" t="s">
        <v>22</v>
      </c>
      <c r="D31" s="88">
        <v>0</v>
      </c>
      <c r="E31" s="89">
        <f>E30</f>
        <v>46107</v>
      </c>
      <c r="F31" s="89">
        <f>F30</f>
        <v>46180</v>
      </c>
      <c r="G31" s="14"/>
      <c r="H31" s="14">
        <f t="shared" ca="1" si="24"/>
        <v>74</v>
      </c>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67"/>
      <c r="CK31" s="77"/>
      <c r="CL31" s="69"/>
      <c r="CM31" s="21"/>
      <c r="CN31" s="21"/>
    </row>
    <row r="32" spans="1:92" s="3" customFormat="1" ht="30" customHeight="1" thickBot="1">
      <c r="A32" s="25"/>
      <c r="B32" s="86" t="s">
        <v>50</v>
      </c>
      <c r="C32" s="87" t="s">
        <v>22</v>
      </c>
      <c r="D32" s="88">
        <v>0</v>
      </c>
      <c r="E32" s="89">
        <f>E30</f>
        <v>46107</v>
      </c>
      <c r="F32" s="89">
        <f>F30</f>
        <v>46180</v>
      </c>
      <c r="G32" s="14"/>
      <c r="H32" s="14"/>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67"/>
      <c r="CK32" s="77"/>
      <c r="CL32" s="69"/>
      <c r="CM32" s="21"/>
      <c r="CN32" s="21"/>
    </row>
    <row r="33" spans="1:92" s="3" customFormat="1" ht="30" customHeight="1" thickBot="1">
      <c r="A33" s="25"/>
      <c r="B33" s="36"/>
      <c r="C33" s="34"/>
      <c r="D33" s="13"/>
      <c r="E33" s="41"/>
      <c r="F33" s="41"/>
      <c r="G33" s="14"/>
      <c r="H33" s="14"/>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67"/>
      <c r="CK33" s="77"/>
      <c r="CL33" s="69"/>
      <c r="CM33" s="21"/>
      <c r="CN33" s="21"/>
    </row>
    <row r="34" spans="1:92" s="3" customFormat="1" ht="30" customHeight="1" thickBot="1">
      <c r="A34" s="26" t="s">
        <v>51</v>
      </c>
      <c r="B34" s="17" t="s">
        <v>52</v>
      </c>
      <c r="C34" s="18"/>
      <c r="D34" s="19"/>
      <c r="E34" s="42"/>
      <c r="F34" s="43"/>
      <c r="G34" s="20"/>
      <c r="H34" s="20" t="str">
        <f t="shared" ca="1" si="24"/>
        <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68"/>
      <c r="CK34" s="78"/>
      <c r="CL34" s="70"/>
      <c r="CM34" s="23"/>
      <c r="CN34" s="23"/>
    </row>
    <row r="35" spans="1:92" ht="30" customHeight="1">
      <c r="G35" s="6"/>
    </row>
    <row r="36" spans="1:92" ht="30" customHeight="1">
      <c r="C36" s="11"/>
      <c r="F36" s="27"/>
      <c r="BJ36" s="72"/>
    </row>
    <row r="37" spans="1:92" ht="30" customHeight="1">
      <c r="C37" s="12"/>
    </row>
  </sheetData>
  <mergeCells count="15">
    <mergeCell ref="BM4:BS4"/>
    <mergeCell ref="BT4:BZ4"/>
    <mergeCell ref="CA4:CG4"/>
    <mergeCell ref="CH4:CN4"/>
    <mergeCell ref="C3:D3"/>
    <mergeCell ref="C4:D4"/>
    <mergeCell ref="AK4:AQ4"/>
    <mergeCell ref="AR4:AX4"/>
    <mergeCell ref="AY4:BE4"/>
    <mergeCell ref="BF4:BL4"/>
    <mergeCell ref="E3:F3"/>
    <mergeCell ref="I4:O4"/>
    <mergeCell ref="P4:V4"/>
    <mergeCell ref="W4:AC4"/>
    <mergeCell ref="AD4:AJ4"/>
  </mergeCells>
  <conditionalFormatting sqref="D7:D34">
    <cfRule type="dataBar" priority="26">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CN21 I22:K25 M22:CN25 I26:CN34">
    <cfRule type="expression" dxfId="2" priority="45">
      <formula>AND(TODAY()&gt;=I$5,TODAY()&lt;J$5)</formula>
    </cfRule>
  </conditionalFormatting>
  <conditionalFormatting sqref="I7:CN21 I22:K25 M22:CN25 I26:CN34">
    <cfRule type="expression" dxfId="1" priority="39">
      <formula>AND(task_start&lt;=I$5,ROUNDDOWN((task_end-task_start+1)*task_progress,0)+task_start-1&gt;=I$5)</formula>
    </cfRule>
    <cfRule type="expression" dxfId="0" priority="40" stopIfTrue="1">
      <formula>AND(task_end&gt;=I$5,task_start&lt;J$5)</formula>
    </cfRule>
  </conditionalFormatting>
  <dataValidations disablePrompts="1"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file>

<file path=customXml/itemProps2.xml><?xml version="1.0" encoding="utf-8"?>
<ds:datastoreItem xmlns:ds="http://schemas.openxmlformats.org/officeDocument/2006/customXml" ds:itemID="{8FE8ED85-58B3-4608-8E91-0433556D50CE}"/>
</file>

<file path=customXml/itemProps3.xml><?xml version="1.0" encoding="utf-8"?>
<ds:datastoreItem xmlns:ds="http://schemas.openxmlformats.org/officeDocument/2006/customXml" ds:itemID="{5144944C-1F1D-4162-962A-96F3FC8455D8}"/>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Jorge Colomer Albertos</cp:lastModifiedBy>
  <cp:revision/>
  <dcterms:created xsi:type="dcterms:W3CDTF">2026-03-24T10:14:28Z</dcterms:created>
  <dcterms:modified xsi:type="dcterms:W3CDTF">2026-03-24T12:25:43Z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